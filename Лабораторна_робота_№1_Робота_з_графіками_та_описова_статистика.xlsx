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8a75d6591406c824/Desktop/"/>
    </mc:Choice>
  </mc:AlternateContent>
  <xr:revisionPtr revIDLastSave="2" documentId="13_ncr:1_{D8FF3F0E-8FDB-44B8-BA16-6C5D6C0748EB}" xr6:coauthVersionLast="47" xr6:coauthVersionMax="47" xr10:uidLastSave="{B6A9BA57-EB5A-44CB-9165-BD24270342DB}"/>
  <bookViews>
    <workbookView xWindow="-108" yWindow="-108" windowWidth="23256" windowHeight="12456" xr2:uid="{00000000-000D-0000-FFFF-FFFF00000000}"/>
  </bookViews>
  <sheets>
    <sheet name="Лабораторна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E10" i="1"/>
  <c r="D10" i="1"/>
  <c r="F9" i="1"/>
  <c r="G9" i="1" s="1"/>
  <c r="H9" i="1" s="1"/>
  <c r="G8" i="1"/>
  <c r="H8" i="1" s="1"/>
  <c r="F8" i="1"/>
  <c r="F7" i="1"/>
  <c r="G7" i="1" s="1"/>
  <c r="F6" i="1"/>
  <c r="F10" i="1" s="1"/>
  <c r="F5" i="1"/>
  <c r="G5" i="1" s="1"/>
  <c r="G4" i="1"/>
  <c r="H4" i="1" s="1"/>
  <c r="F4" i="1"/>
  <c r="F11" i="1" s="1"/>
  <c r="K5" i="1" l="1"/>
  <c r="H5" i="1"/>
  <c r="K14" i="1" s="1"/>
  <c r="G10" i="1"/>
  <c r="H7" i="1"/>
  <c r="G11" i="1"/>
  <c r="G6" i="1"/>
  <c r="H6" i="1"/>
  <c r="K10" i="1" l="1"/>
  <c r="K7" i="1"/>
  <c r="K6" i="1"/>
  <c r="K9" i="1"/>
  <c r="K4" i="1"/>
  <c r="K13" i="1"/>
  <c r="K11" i="1"/>
  <c r="H10" i="1"/>
  <c r="H11" i="1"/>
  <c r="K8" i="1"/>
  <c r="K12" i="1"/>
</calcChain>
</file>

<file path=xl/sharedStrings.xml><?xml version="1.0" encoding="utf-8"?>
<sst xmlns="http://schemas.openxmlformats.org/spreadsheetml/2006/main" count="36" uniqueCount="31">
  <si>
    <t>Лабораторна робота №1: Робота з графіками та описова статистика</t>
  </si>
  <si>
    <t>Бригада</t>
  </si>
  <si>
    <t>П.І.Б.</t>
  </si>
  <si>
    <t>Розряд</t>
  </si>
  <si>
    <t>Відпрацьовано днів</t>
  </si>
  <si>
    <t>Зарплата за 1 день</t>
  </si>
  <si>
    <t>Всього нараховано</t>
  </si>
  <si>
    <t>Податок</t>
  </si>
  <si>
    <t>Одержати</t>
  </si>
  <si>
    <t>Описова статистика</t>
  </si>
  <si>
    <t>Значення</t>
  </si>
  <si>
    <t>№2</t>
  </si>
  <si>
    <t>Дуплій О.В.</t>
  </si>
  <si>
    <t>Середнє</t>
  </si>
  <si>
    <t>Іванов І.І.</t>
  </si>
  <si>
    <t>Медіана</t>
  </si>
  <si>
    <t>Капітан Г.І.</t>
  </si>
  <si>
    <t>Мода</t>
  </si>
  <si>
    <t>Кірієнко В.Н.</t>
  </si>
  <si>
    <t>Стандартне відхилення</t>
  </si>
  <si>
    <t>Петренко О.В.</t>
  </si>
  <si>
    <t>Дисперсія</t>
  </si>
  <si>
    <t>Сорокіна Т.П.</t>
  </si>
  <si>
    <t>Ексцесс</t>
  </si>
  <si>
    <t>Всього:</t>
  </si>
  <si>
    <t>Асиметричність</t>
  </si>
  <si>
    <t>Середнє:</t>
  </si>
  <si>
    <t>Мінімум</t>
  </si>
  <si>
    <t>Максимум</t>
  </si>
  <si>
    <t>Сума</t>
  </si>
  <si>
    <t>Кількість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</si>
</sst>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A1B1F"/>
      <name val="Roboto"/>
    </font>
    <font>
      <b/>
      <sz val="10"/>
      <color rgb="FF1A1B1F"/>
      <name val="Roboto"/>
    </font>
  </fonts>
  <fills count="3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</fills>
  <borders count="10">
    <border>
      <left/>
      <right/>
      <top/>
      <bottom/>
      <diagonal/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4777E"/>
      </left>
      <right style="thin">
        <color rgb="FF74777E"/>
      </right>
      <top style="thin">
        <color rgb="FF74777E"/>
      </top>
      <bottom/>
      <diagonal/>
    </border>
    <border>
      <left style="thin">
        <color rgb="FF74777E"/>
      </left>
      <right/>
      <top style="thin">
        <color rgb="FF74777E"/>
      </top>
      <bottom/>
      <diagonal/>
    </border>
    <border>
      <left style="thin">
        <color rgb="FF74777E"/>
      </left>
      <right/>
      <top/>
      <bottom style="thin">
        <color rgb="FF74777E"/>
      </bottom>
      <diagonal/>
    </border>
    <border>
      <left/>
      <right style="thin">
        <color rgb="FF74777E"/>
      </right>
      <top style="thin">
        <color rgb="FF74777E"/>
      </top>
      <bottom/>
      <diagonal/>
    </border>
    <border>
      <left/>
      <right style="thin">
        <color rgb="FF74777E"/>
      </right>
      <top/>
      <bottom/>
      <diagonal/>
    </border>
    <border>
      <left/>
      <right/>
      <top style="thin">
        <color rgb="FF74777E"/>
      </top>
      <bottom/>
      <diagonal/>
    </border>
    <border>
      <left/>
      <right/>
      <top/>
      <bottom style="thin">
        <color rgb="FF74777E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4" fontId="2" fillId="0" borderId="1" xfId="0" applyNumberFormat="1" applyFont="1" applyBorder="1"/>
    <xf numFmtId="0" fontId="3" fillId="0" borderId="1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/>
    <xf numFmtId="0" fontId="3" fillId="0" borderId="2" xfId="0" applyFont="1" applyBorder="1" applyAlignment="1"/>
    <xf numFmtId="0" fontId="3" fillId="0" borderId="2" xfId="0" applyFont="1" applyBorder="1"/>
    <xf numFmtId="0" fontId="3" fillId="0" borderId="4" xfId="0" applyFont="1" applyBorder="1" applyAlignment="1"/>
    <xf numFmtId="0" fontId="2" fillId="0" borderId="5" xfId="0" applyFont="1" applyBorder="1" applyAlignment="1"/>
    <xf numFmtId="0" fontId="1" fillId="2" borderId="6" xfId="0" applyFont="1" applyFill="1" applyBorder="1" applyAlignment="1">
      <alignment horizontal="center" vertical="center"/>
    </xf>
    <xf numFmtId="0" fontId="0" fillId="0" borderId="0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Border="1" applyAlignment="1"/>
    <xf numFmtId="4" fontId="3" fillId="0" borderId="2" xfId="0" applyNumberFormat="1" applyFont="1" applyBorder="1"/>
    <xf numFmtId="4" fontId="2" fillId="0" borderId="2" xfId="0" applyNumberFormat="1" applyFont="1" applyBorder="1" applyAlignment="1"/>
    <xf numFmtId="4" fontId="2" fillId="0" borderId="2" xfId="0" applyNumberFormat="1" applyFont="1" applyBorder="1"/>
    <xf numFmtId="4" fontId="2" fillId="0" borderId="0" xfId="0" applyNumberFormat="1" applyFont="1" applyBorder="1" applyAlignment="1"/>
    <xf numFmtId="4" fontId="2" fillId="0" borderId="7" xfId="0" applyNumberFormat="1" applyFont="1" applyBorder="1"/>
    <xf numFmtId="4" fontId="3" fillId="0" borderId="0" xfId="0" applyNumberFormat="1" applyFont="1" applyBorder="1"/>
    <xf numFmtId="4" fontId="2" fillId="0" borderId="0" xfId="0" applyNumberFormat="1" applyFont="1" applyBorder="1"/>
    <xf numFmtId="4" fontId="2" fillId="0" borderId="8" xfId="0" applyNumberFormat="1" applyFont="1" applyBorder="1"/>
    <xf numFmtId="4" fontId="3" fillId="0" borderId="9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</cellXfs>
  <cellStyles count="1">
    <cellStyle name="Звичайний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425D90"/>
          <bgColor rgb="FF425D90"/>
        </patternFill>
      </fill>
    </dxf>
  </dxfs>
  <tableStyles count="2">
    <tableStyle name="Лабораторна 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Лабораторна 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uk-UA" b="0">
                <a:solidFill>
                  <a:srgbClr val="757575"/>
                </a:solidFill>
                <a:latin typeface="+mn-lt"/>
              </a:rPr>
              <a:t>Заробіток бригади №2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'Лабораторна 1'!$H$3</c:f>
              <c:strCache>
                <c:ptCount val="1"/>
                <c:pt idx="0">
                  <c:v>Одержати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trendline>
            <c:trendlineType val="linear"/>
            <c:dispRSqr val="0"/>
            <c:dispEq val="0"/>
          </c:trendline>
          <c:cat>
            <c:strRef>
              <c:f>'Лабораторна 1'!$B$4:$B$9</c:f>
              <c:strCache>
                <c:ptCount val="6"/>
                <c:pt idx="0">
                  <c:v>Дуплій О.В.</c:v>
                </c:pt>
                <c:pt idx="1">
                  <c:v>Іванов І.І.</c:v>
                </c:pt>
                <c:pt idx="2">
                  <c:v>Капітан Г.І.</c:v>
                </c:pt>
                <c:pt idx="3">
                  <c:v>Кірієнко В.Н.</c:v>
                </c:pt>
                <c:pt idx="4">
                  <c:v>Петренко О.В.</c:v>
                </c:pt>
                <c:pt idx="5">
                  <c:v>Сорокіна Т.П.</c:v>
                </c:pt>
              </c:strCache>
            </c:strRef>
          </c:cat>
          <c:val>
            <c:numRef>
              <c:f>'Лабораторна 1'!$H$4:$H$9</c:f>
              <c:numCache>
                <c:formatCode>#,##0.00</c:formatCode>
                <c:ptCount val="6"/>
                <c:pt idx="0">
                  <c:v>696</c:v>
                </c:pt>
                <c:pt idx="1">
                  <c:v>835.2</c:v>
                </c:pt>
                <c:pt idx="2">
                  <c:v>543.75</c:v>
                </c:pt>
                <c:pt idx="3">
                  <c:v>678.6</c:v>
                </c:pt>
                <c:pt idx="4">
                  <c:v>587.25</c:v>
                </c:pt>
                <c:pt idx="5">
                  <c:v>626.4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636-4DC8-8362-56CD63FD8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2060982"/>
        <c:axId val="859957850"/>
      </c:barChart>
      <c:catAx>
        <c:axId val="852060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uk-UA" b="0">
                    <a:solidFill>
                      <a:srgbClr val="000000"/>
                    </a:solidFill>
                    <a:latin typeface="+mn-lt"/>
                  </a:rPr>
                  <a:t>П.І.Б.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uk-UA"/>
          </a:p>
        </c:txPr>
        <c:crossAx val="859957850"/>
        <c:crosses val="autoZero"/>
        <c:auto val="1"/>
        <c:lblAlgn val="ctr"/>
        <c:lblOffset val="100"/>
        <c:noMultiLvlLbl val="1"/>
      </c:catAx>
      <c:valAx>
        <c:axId val="859957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uk-UA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uk-UA"/>
          </a:p>
        </c:txPr>
        <c:crossAx val="85206098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797858</xdr:colOff>
      <xdr:row>11</xdr:row>
      <xdr:rowOff>194310</xdr:rowOff>
    </xdr:from>
    <xdr:ext cx="5715000" cy="3333750"/>
    <xdr:graphicFrame macro="">
      <xdr:nvGraphicFramePr>
        <xdr:cNvPr id="2" name="Chart 1" title="Заробіток бригади №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11">
  <tableColumns count="8">
    <tableColumn id="1" xr3:uid="{00000000-0010-0000-0000-000001000000}" name="Бригада"/>
    <tableColumn id="2" xr3:uid="{00000000-0010-0000-0000-000002000000}" name="П.І.Б."/>
    <tableColumn id="3" xr3:uid="{00000000-0010-0000-0000-000003000000}" name="Розряд"/>
    <tableColumn id="4" xr3:uid="{00000000-0010-0000-0000-000004000000}" name="Відпрацьовано днів"/>
    <tableColumn id="5" xr3:uid="{00000000-0010-0000-0000-000005000000}" name="Зарплата за 1 день"/>
    <tableColumn id="6" xr3:uid="{00000000-0010-0000-0000-000006000000}" name="Всього нараховано"/>
    <tableColumn id="7" xr3:uid="{00000000-0010-0000-0000-000007000000}" name="Податок"/>
    <tableColumn id="8" xr3:uid="{00000000-0010-0000-0000-000008000000}" name="Одержати"/>
  </tableColumns>
  <tableStyleInfo name="Лабораторна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J3:K15">
  <tableColumns count="2">
    <tableColumn id="1" xr3:uid="{00000000-0010-0000-0100-000001000000}" name="Описова статистика"/>
    <tableColumn id="2" xr3:uid="{00000000-0010-0000-0100-000002000000}" name="Значення"/>
  </tableColumns>
  <tableStyleInfo name="Лабораторна 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"/>
  <sheetViews>
    <sheetView tabSelected="1" zoomScale="85" zoomScaleNormal="85" workbookViewId="0">
      <selection activeCell="C16" sqref="C16"/>
    </sheetView>
  </sheetViews>
  <sheetFormatPr defaultColWidth="12.6640625" defaultRowHeight="15.75" customHeight="1" x14ac:dyDescent="0.25"/>
  <cols>
    <col min="2" max="2" width="18.88671875" customWidth="1"/>
    <col min="4" max="4" width="27.21875" customWidth="1"/>
    <col min="5" max="5" width="24.77734375" customWidth="1"/>
    <col min="6" max="6" width="27.88671875" customWidth="1"/>
    <col min="10" max="10" width="22.6640625" customWidth="1"/>
  </cols>
  <sheetData>
    <row r="1" spans="1:11" ht="16.8" x14ac:dyDescent="0.25">
      <c r="A1" s="25" t="s">
        <v>0</v>
      </c>
      <c r="B1" s="26"/>
      <c r="C1" s="26"/>
      <c r="D1" s="26"/>
      <c r="E1" s="26"/>
      <c r="F1" s="26"/>
      <c r="G1" s="26"/>
      <c r="H1" s="26"/>
    </row>
    <row r="3" spans="1:11" ht="16.8" x14ac:dyDescent="0.25">
      <c r="A3" s="4" t="s">
        <v>1</v>
      </c>
      <c r="B3" s="4" t="s">
        <v>2</v>
      </c>
      <c r="C3" s="10" t="s">
        <v>3</v>
      </c>
      <c r="D3" s="14" t="s">
        <v>4</v>
      </c>
      <c r="E3" s="14" t="s">
        <v>5</v>
      </c>
      <c r="F3" s="1" t="s">
        <v>6</v>
      </c>
      <c r="G3" s="14" t="s">
        <v>7</v>
      </c>
      <c r="H3" s="14" t="s">
        <v>8</v>
      </c>
      <c r="J3" s="1" t="s">
        <v>9</v>
      </c>
      <c r="K3" s="1" t="s">
        <v>10</v>
      </c>
    </row>
    <row r="4" spans="1:11" ht="13.2" x14ac:dyDescent="0.25">
      <c r="A4" s="5" t="s">
        <v>11</v>
      </c>
      <c r="B4" s="5" t="s">
        <v>12</v>
      </c>
      <c r="C4" s="5">
        <v>6</v>
      </c>
      <c r="D4" s="5">
        <v>20</v>
      </c>
      <c r="E4" s="17">
        <v>40</v>
      </c>
      <c r="F4" s="23">
        <f t="shared" ref="F4:F9" si="0">D4*E4</f>
        <v>800</v>
      </c>
      <c r="G4" s="18">
        <f t="shared" ref="G4:G9" si="1">F4*13%</f>
        <v>104</v>
      </c>
      <c r="H4" s="18">
        <f t="shared" ref="H4:H9" si="2">F4-G4</f>
        <v>696</v>
      </c>
      <c r="J4" s="3" t="s">
        <v>13</v>
      </c>
      <c r="K4" s="2">
        <f>AVERAGE(H4:H9)</f>
        <v>661.19999999999993</v>
      </c>
    </row>
    <row r="5" spans="1:11" ht="13.2" x14ac:dyDescent="0.25">
      <c r="A5" s="5" t="s">
        <v>11</v>
      </c>
      <c r="B5" s="13" t="s">
        <v>14</v>
      </c>
      <c r="C5" s="5">
        <v>6</v>
      </c>
      <c r="D5" s="15">
        <v>24</v>
      </c>
      <c r="E5" s="17">
        <v>40</v>
      </c>
      <c r="F5" s="18">
        <f t="shared" si="0"/>
        <v>960</v>
      </c>
      <c r="G5" s="18">
        <f t="shared" si="1"/>
        <v>124.80000000000001</v>
      </c>
      <c r="H5" s="20">
        <f t="shared" si="2"/>
        <v>835.2</v>
      </c>
      <c r="J5" s="3" t="s">
        <v>15</v>
      </c>
      <c r="K5" s="2">
        <f>MEDIAN(H4:H9)</f>
        <v>652.5</v>
      </c>
    </row>
    <row r="6" spans="1:11" ht="13.2" x14ac:dyDescent="0.25">
      <c r="A6" s="5" t="s">
        <v>11</v>
      </c>
      <c r="B6" s="12" t="s">
        <v>16</v>
      </c>
      <c r="C6" s="5">
        <v>4</v>
      </c>
      <c r="D6" s="5">
        <v>25</v>
      </c>
      <c r="E6" s="17">
        <v>25</v>
      </c>
      <c r="F6" s="22">
        <f t="shared" si="0"/>
        <v>625</v>
      </c>
      <c r="G6" s="18">
        <f t="shared" si="1"/>
        <v>81.25</v>
      </c>
      <c r="H6" s="18">
        <f t="shared" si="2"/>
        <v>543.75</v>
      </c>
      <c r="J6" s="3" t="s">
        <v>17</v>
      </c>
      <c r="K6" s="2" t="str">
        <f>IFERROR(_xlfn.MODE.SNGL(H4:H9), "Немає")</f>
        <v>Немає</v>
      </c>
    </row>
    <row r="7" spans="1:11" ht="13.2" x14ac:dyDescent="0.25">
      <c r="A7" s="5" t="s">
        <v>11</v>
      </c>
      <c r="B7" s="5" t="s">
        <v>18</v>
      </c>
      <c r="C7" s="5">
        <v>5</v>
      </c>
      <c r="D7" s="5">
        <v>26</v>
      </c>
      <c r="E7" s="19">
        <v>30</v>
      </c>
      <c r="F7" s="18">
        <f t="shared" si="0"/>
        <v>780</v>
      </c>
      <c r="G7" s="18">
        <f t="shared" si="1"/>
        <v>101.4</v>
      </c>
      <c r="H7" s="20">
        <f t="shared" si="2"/>
        <v>678.6</v>
      </c>
      <c r="J7" s="3" t="s">
        <v>19</v>
      </c>
      <c r="K7" s="2">
        <f>_xlfn.STDEV.S(H4:H9)</f>
        <v>102.2388820361415</v>
      </c>
    </row>
    <row r="8" spans="1:11" ht="13.2" x14ac:dyDescent="0.25">
      <c r="A8" s="5" t="s">
        <v>11</v>
      </c>
      <c r="B8" s="5" t="s">
        <v>20</v>
      </c>
      <c r="C8" s="5">
        <v>4</v>
      </c>
      <c r="D8" s="15">
        <v>27</v>
      </c>
      <c r="E8" s="17">
        <v>25</v>
      </c>
      <c r="F8" s="18">
        <f t="shared" si="0"/>
        <v>675</v>
      </c>
      <c r="G8" s="18">
        <f t="shared" si="1"/>
        <v>87.75</v>
      </c>
      <c r="H8" s="18">
        <f t="shared" si="2"/>
        <v>587.25</v>
      </c>
      <c r="J8" s="3" t="s">
        <v>21</v>
      </c>
      <c r="K8" s="2">
        <f>_xlfn.VAR.S(H4:H9)</f>
        <v>10452.789000000059</v>
      </c>
    </row>
    <row r="9" spans="1:11" ht="13.2" x14ac:dyDescent="0.25">
      <c r="A9" s="9" t="s">
        <v>11</v>
      </c>
      <c r="B9" s="5" t="s">
        <v>22</v>
      </c>
      <c r="C9" s="15">
        <v>5</v>
      </c>
      <c r="D9" s="5">
        <v>24</v>
      </c>
      <c r="E9" s="17">
        <v>30</v>
      </c>
      <c r="F9" s="22">
        <f t="shared" si="0"/>
        <v>720</v>
      </c>
      <c r="G9" s="18">
        <f t="shared" si="1"/>
        <v>93.600000000000009</v>
      </c>
      <c r="H9" s="20">
        <f t="shared" si="2"/>
        <v>626.4</v>
      </c>
      <c r="J9" s="3" t="s">
        <v>23</v>
      </c>
      <c r="K9" s="2">
        <f>KURT(H4:H9)</f>
        <v>1.0526969144188802</v>
      </c>
    </row>
    <row r="10" spans="1:11" ht="13.2" x14ac:dyDescent="0.25">
      <c r="A10" s="8" t="s">
        <v>24</v>
      </c>
      <c r="B10" s="7"/>
      <c r="C10" s="7"/>
      <c r="D10" s="7">
        <f t="shared" ref="D10:H10" si="3">SUM(D4:D9)</f>
        <v>146</v>
      </c>
      <c r="E10" s="21">
        <f t="shared" si="3"/>
        <v>190</v>
      </c>
      <c r="F10" s="16">
        <f t="shared" si="3"/>
        <v>4560</v>
      </c>
      <c r="G10" s="16">
        <f t="shared" si="3"/>
        <v>592.80000000000007</v>
      </c>
      <c r="H10" s="16">
        <f t="shared" si="3"/>
        <v>3967.2</v>
      </c>
      <c r="J10" s="3" t="s">
        <v>25</v>
      </c>
      <c r="K10" s="2">
        <f>SKEW(H4:H9)</f>
        <v>0.91198116580415822</v>
      </c>
    </row>
    <row r="11" spans="1:11" ht="13.2" x14ac:dyDescent="0.25">
      <c r="A11" s="6" t="s">
        <v>26</v>
      </c>
      <c r="B11" s="7"/>
      <c r="C11" s="7"/>
      <c r="D11" s="7">
        <f t="shared" ref="D11:H11" si="4">AVERAGE(D4:D9)</f>
        <v>24.333333333333332</v>
      </c>
      <c r="E11" s="16">
        <f t="shared" si="4"/>
        <v>31.666666666666668</v>
      </c>
      <c r="F11" s="16">
        <f t="shared" si="4"/>
        <v>760</v>
      </c>
      <c r="G11" s="24">
        <f t="shared" si="4"/>
        <v>98.800000000000011</v>
      </c>
      <c r="H11" s="16">
        <f t="shared" si="4"/>
        <v>661.19999999999993</v>
      </c>
      <c r="J11" s="3" t="s">
        <v>27</v>
      </c>
      <c r="K11" s="2">
        <f>MIN(H4:H9)</f>
        <v>543.75</v>
      </c>
    </row>
    <row r="12" spans="1:11" ht="13.2" x14ac:dyDescent="0.25">
      <c r="A12" s="11"/>
      <c r="F12" s="11"/>
      <c r="J12" s="3" t="s">
        <v>28</v>
      </c>
      <c r="K12" s="2">
        <f>MAX(H4:H9)</f>
        <v>835.2</v>
      </c>
    </row>
    <row r="13" spans="1:11" ht="13.2" x14ac:dyDescent="0.25">
      <c r="J13" s="3" t="s">
        <v>29</v>
      </c>
      <c r="K13" s="2">
        <f>SUM(H4:H9)</f>
        <v>3967.2</v>
      </c>
    </row>
    <row r="14" spans="1:11" ht="13.2" x14ac:dyDescent="0.25">
      <c r="J14" s="3" t="s">
        <v>30</v>
      </c>
      <c r="K14" s="2">
        <f>COUNT(H4:H9)</f>
        <v>6</v>
      </c>
    </row>
    <row r="16" spans="1:11" ht="15.75" customHeight="1" x14ac:dyDescent="0.25">
      <c r="J16" s="11"/>
    </row>
  </sheetData>
  <mergeCells count="1">
    <mergeCell ref="A1:H1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Лабораторна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</dc:creator>
  <cp:lastModifiedBy>Aliev Andrei</cp:lastModifiedBy>
  <dcterms:created xsi:type="dcterms:W3CDTF">2026-09-22T15:48:59Z</dcterms:created>
  <dcterms:modified xsi:type="dcterms:W3CDTF">2026-09-22T15:54:52Z</dcterms:modified>
</cp:coreProperties>
</file>